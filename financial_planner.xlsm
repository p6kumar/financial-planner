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onku\OneDrive\Documents\Prakash\MSE 100 Term Project\"/>
    </mc:Choice>
  </mc:AlternateContent>
  <xr:revisionPtr revIDLastSave="0" documentId="8_{66C0A718-3449-4A35-9BCA-CA038E729E9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ashboard" sheetId="10" r:id="rId1"/>
    <sheet name="Expenses" sheetId="1" r:id="rId2"/>
    <sheet name="Forecast_Expenses" sheetId="13" r:id="rId3"/>
    <sheet name="Income" sheetId="8" r:id="rId4"/>
    <sheet name="Combined_Data" sheetId="11" r:id="rId5"/>
    <sheet name="PivotTableSheet" sheetId="12" r:id="rId6"/>
    <sheet name="Goals" sheetId="4" r:id="rId7"/>
    <sheet name="Expense_Limits" sheetId="6" r:id="rId8"/>
  </sheets>
  <definedNames>
    <definedName name="_xleta.SUM" hidden="1" xlm="1">#NAME?</definedName>
  </definedNames>
  <calcPr calcId="191028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0" l="1"/>
  <c r="B12" i="10"/>
  <c r="B28" i="10"/>
  <c r="B27" i="10"/>
  <c r="B26" i="10"/>
  <c r="B25" i="10"/>
  <c r="B24" i="10"/>
  <c r="B19" i="10"/>
  <c r="B20" i="10"/>
  <c r="C29" i="10" l="1"/>
  <c r="C21" i="10"/>
  <c r="C30" i="10" l="1"/>
</calcChain>
</file>

<file path=xl/sharedStrings.xml><?xml version="1.0" encoding="utf-8"?>
<sst xmlns="http://schemas.openxmlformats.org/spreadsheetml/2006/main" count="67" uniqueCount="41">
  <si>
    <t>Date</t>
  </si>
  <si>
    <t>Item</t>
  </si>
  <si>
    <t>Category</t>
  </si>
  <si>
    <t>Description</t>
  </si>
  <si>
    <t>Amount</t>
  </si>
  <si>
    <t>Priority</t>
  </si>
  <si>
    <t>Food Expense</t>
  </si>
  <si>
    <t>Goal</t>
  </si>
  <si>
    <t>Income Statement</t>
  </si>
  <si>
    <t>Month Ended</t>
  </si>
  <si>
    <t>Revenue</t>
  </si>
  <si>
    <t xml:space="preserve">    Co-Op Salary</t>
  </si>
  <si>
    <t xml:space="preserve">    Part-Time Job</t>
  </si>
  <si>
    <t xml:space="preserve">    Total Revenue</t>
  </si>
  <si>
    <t>Expenses</t>
  </si>
  <si>
    <t xml:space="preserve">    Food Expense</t>
  </si>
  <si>
    <t xml:space="preserve">    Entertainment Expense</t>
  </si>
  <si>
    <t xml:space="preserve">    Tuition Expense</t>
  </si>
  <si>
    <t xml:space="preserve">     Transportation Expense</t>
  </si>
  <si>
    <t xml:space="preserve">    Housing Expense</t>
  </si>
  <si>
    <t xml:space="preserve">    Total Expenses</t>
  </si>
  <si>
    <t>Net Income</t>
  </si>
  <si>
    <t>Monthly Limit</t>
  </si>
  <si>
    <t>Entertainment Expense</t>
  </si>
  <si>
    <t>Tuition Expense</t>
  </si>
  <si>
    <t>Transportation Expense</t>
  </si>
  <si>
    <t>Housing Expense</t>
  </si>
  <si>
    <t>Finacial Planner Dashboard</t>
  </si>
  <si>
    <t>Expense Totals</t>
  </si>
  <si>
    <t>Income Totals</t>
  </si>
  <si>
    <t>Total Expenses:</t>
  </si>
  <si>
    <t xml:space="preserve">Total Income: </t>
  </si>
  <si>
    <t>Expense</t>
  </si>
  <si>
    <t>Type</t>
  </si>
  <si>
    <t>Row Labels</t>
  </si>
  <si>
    <t>Grand Total</t>
  </si>
  <si>
    <t>Column Labels</t>
  </si>
  <si>
    <t>(All)</t>
  </si>
  <si>
    <t xml:space="preserve"> </t>
  </si>
  <si>
    <t>`</t>
  </si>
  <si>
    <t>Count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</si>
</sst>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yyyy\-mm\-dd;@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dobe Gothic Std B"/>
      <family val="2"/>
      <charset val="128"/>
    </font>
    <font>
      <sz val="36"/>
      <color theme="1"/>
      <name val="Adobe Gothic Std B"/>
      <family val="2"/>
      <charset val="128"/>
    </font>
    <font>
      <u/>
      <sz val="11"/>
      <color theme="1"/>
      <name val="Adobe Heiti Std R"/>
      <family val="2"/>
      <charset val="128"/>
    </font>
    <font>
      <sz val="10"/>
      <color theme="1"/>
      <name val="Adobe Heiti Std R"/>
      <family val="2"/>
      <charset val="128"/>
    </font>
    <font>
      <b/>
      <sz val="10"/>
      <color theme="1"/>
      <name val="Adobe Heiti Std R"/>
      <family val="2"/>
      <charset val="128"/>
    </font>
    <font>
      <sz val="11"/>
      <color rgb="FF000000"/>
      <name val="Abadi"/>
      <family val="2"/>
    </font>
  </fonts>
  <fills count="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3CDE0"/>
        <bgColor indexed="64"/>
      </patternFill>
    </fill>
    <fill>
      <patternFill patternType="solid">
        <fgColor rgb="FF5E97CB"/>
        <bgColor indexed="64"/>
      </patternFill>
    </fill>
    <fill>
      <patternFill patternType="solid">
        <fgColor rgb="FF57A9DA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2" xfId="1" applyBorder="1"/>
    <xf numFmtId="165" fontId="1" fillId="2" borderId="2" xfId="1" applyNumberFormat="1" applyBorder="1"/>
    <xf numFmtId="165" fontId="0" fillId="0" borderId="0" xfId="0" applyNumberFormat="1"/>
    <xf numFmtId="0" fontId="4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3" fillId="0" borderId="0" xfId="2" applyNumberFormat="1" applyFont="1" applyFill="1" applyAlignment="1">
      <alignment horizontal="center" vertical="center"/>
    </xf>
    <xf numFmtId="165" fontId="3" fillId="0" borderId="0" xfId="2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pivotButton="1"/>
    <xf numFmtId="0" fontId="11" fillId="4" borderId="5" xfId="0" applyFont="1" applyFill="1" applyBorder="1"/>
    <xf numFmtId="165" fontId="11" fillId="4" borderId="5" xfId="0" applyNumberFormat="1" applyFont="1" applyFill="1" applyBorder="1"/>
    <xf numFmtId="0" fontId="4" fillId="4" borderId="5" xfId="0" applyFont="1" applyFill="1" applyBorder="1"/>
    <xf numFmtId="165" fontId="0" fillId="4" borderId="5" xfId="0" applyNumberFormat="1" applyFill="1" applyBorder="1"/>
    <xf numFmtId="0" fontId="12" fillId="4" borderId="5" xfId="0" applyFont="1" applyFill="1" applyBorder="1"/>
    <xf numFmtId="0" fontId="0" fillId="5" borderId="0" xfId="0" applyFill="1"/>
    <xf numFmtId="0" fontId="10" fillId="6" borderId="5" xfId="0" applyFont="1" applyFill="1" applyBorder="1" applyAlignment="1">
      <alignment horizontal="center" vertical="center"/>
    </xf>
    <xf numFmtId="0" fontId="6" fillId="7" borderId="0" xfId="0" applyFont="1" applyFill="1"/>
    <xf numFmtId="0" fontId="0" fillId="7" borderId="0" xfId="0" applyFill="1"/>
    <xf numFmtId="44" fontId="0" fillId="7" borderId="0" xfId="0" applyNumberFormat="1" applyFill="1"/>
    <xf numFmtId="44" fontId="0" fillId="7" borderId="3" xfId="0" applyNumberFormat="1" applyFill="1" applyBorder="1"/>
    <xf numFmtId="0" fontId="7" fillId="7" borderId="0" xfId="0" applyFont="1" applyFill="1"/>
    <xf numFmtId="0" fontId="4" fillId="7" borderId="0" xfId="0" applyFont="1" applyFill="1"/>
    <xf numFmtId="44" fontId="0" fillId="7" borderId="4" xfId="0" applyNumberFormat="1" applyFill="1" applyBorder="1"/>
    <xf numFmtId="0" fontId="9" fillId="5" borderId="0" xfId="0" applyFont="1" applyFill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/>
    </xf>
  </cellXfs>
  <cellStyles count="3">
    <cellStyle name="Accent5" xfId="1" builtinId="45"/>
    <cellStyle name="Currency" xfId="2" builtinId="4"/>
    <cellStyle name="Normal" xfId="0" builtinId="0"/>
  </cellStyles>
  <dxfs count="0"/>
  <tableStyles count="0" defaultTableStyle="TableStyleMedium2" defaultPivotStyle="PivotStyleMedium9"/>
  <colors>
    <mruColors>
      <color rgb="FF57A9DA"/>
      <color rgb="FFCFE5F2"/>
      <color rgb="FFB3CDE0"/>
      <color rgb="FF41698E"/>
      <color rgb="FF5E97CB"/>
      <color rgb="FF67B6E4"/>
      <color rgb="FF5FA3D7"/>
      <color rgb="FF6497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[financial_planner.xlsm]PivotTableSheet!CombinedPivot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Combined Income and Expenses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3C9CD5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PivotTableSheet!$B$3:$B$4</c:f>
              <c:strCache>
                <c:ptCount val="1"/>
                <c:pt idx="0">
                  <c:v>Expense</c:v>
                </c:pt>
              </c:strCache>
            </c:strRef>
          </c:tx>
          <c:spPr>
            <a:solidFill>
              <a:srgbClr val="3C9CD5"/>
            </a:solidFill>
          </c:spPr>
          <c:invertIfNegative val="0"/>
          <c:cat>
            <c:strRef>
              <c:f>PivotTableSheet!$A$5:$A$6</c:f>
              <c:strCache>
                <c:ptCount val="1"/>
                <c:pt idx="0">
                  <c:v>Category</c:v>
                </c:pt>
              </c:strCache>
            </c:strRef>
          </c:cat>
          <c:val>
            <c:numRef>
              <c:f>PivotTableSheet!$B$5:$B$6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1-47DC-B714-60432F280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919135"/>
        <c:axId val="886916735"/>
      </c:barChart>
      <c:catAx>
        <c:axId val="886919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6916735"/>
        <c:crosses val="autoZero"/>
        <c:auto val="1"/>
        <c:lblAlgn val="ctr"/>
        <c:lblOffset val="100"/>
        <c:noMultiLvlLbl val="0"/>
      </c:catAx>
      <c:valAx>
        <c:axId val="8869167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69191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31750</xdr:rowOff>
        </xdr:from>
        <xdr:to>
          <xdr:col>1</xdr:col>
          <xdr:colOff>463550</xdr:colOff>
          <xdr:row>13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Update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12</xdr:row>
          <xdr:rowOff>31750</xdr:rowOff>
        </xdr:from>
        <xdr:to>
          <xdr:col>5</xdr:col>
          <xdr:colOff>158750</xdr:colOff>
          <xdr:row>13</xdr:row>
          <xdr:rowOff>158750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Update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463550</xdr:colOff>
          <xdr:row>4</xdr:row>
          <xdr:rowOff>57150</xdr:rowOff>
        </xdr:from>
        <xdr:to>
          <xdr:col>7</xdr:col>
          <xdr:colOff>488950</xdr:colOff>
          <xdr:row>8</xdr:row>
          <xdr:rowOff>69850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Add a New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469900</xdr:colOff>
          <xdr:row>8</xdr:row>
          <xdr:rowOff>158750</xdr:rowOff>
        </xdr:from>
        <xdr:to>
          <xdr:col>7</xdr:col>
          <xdr:colOff>482600</xdr:colOff>
          <xdr:row>13</xdr:row>
          <xdr:rowOff>171450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Add a New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4</xdr:row>
          <xdr:rowOff>69850</xdr:rowOff>
        </xdr:from>
        <xdr:to>
          <xdr:col>12</xdr:col>
          <xdr:colOff>254000</xdr:colOff>
          <xdr:row>8</xdr:row>
          <xdr:rowOff>63500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Display Financial Goals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8</xdr:row>
          <xdr:rowOff>158750</xdr:rowOff>
        </xdr:from>
        <xdr:to>
          <xdr:col>12</xdr:col>
          <xdr:colOff>254000</xdr:colOff>
          <xdr:row>13</xdr:row>
          <xdr:rowOff>177800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Edit Financial Goals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30</xdr:row>
          <xdr:rowOff>165100</xdr:rowOff>
        </xdr:from>
        <xdr:to>
          <xdr:col>2</xdr:col>
          <xdr:colOff>292100</xdr:colOff>
          <xdr:row>34</xdr:row>
          <xdr:rowOff>57150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Give Financial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15</xdr:row>
          <xdr:rowOff>57150</xdr:rowOff>
        </xdr:from>
        <xdr:to>
          <xdr:col>13</xdr:col>
          <xdr:colOff>514350</xdr:colOff>
          <xdr:row>17</xdr:row>
          <xdr:rowOff>69850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badi"/>
                </a:rPr>
                <a:t>Create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76200</xdr:colOff>
      <xdr:row>14</xdr:row>
      <xdr:rowOff>95250</xdr:rowOff>
    </xdr:from>
    <xdr:to>
      <xdr:col>10</xdr:col>
      <xdr:colOff>539750</xdr:colOff>
      <xdr:row>34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F12F09-9BFE-C517-7B34-5217155DE3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273050</xdr:colOff>
          <xdr:row>4</xdr:row>
          <xdr:rowOff>38100</xdr:rowOff>
        </xdr:from>
        <xdr:to>
          <xdr:col>9</xdr:col>
          <xdr:colOff>323850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292100</xdr:colOff>
          <xdr:row>1</xdr:row>
          <xdr:rowOff>44450</xdr:rowOff>
        </xdr:from>
        <xdr:to>
          <xdr:col>9</xdr:col>
          <xdr:colOff>330200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279400</xdr:colOff>
          <xdr:row>7</xdr:row>
          <xdr:rowOff>57150</xdr:rowOff>
        </xdr:from>
        <xdr:to>
          <xdr:col>9</xdr:col>
          <xdr:colOff>330200</xdr:colOff>
          <xdr:row>9</xdr:row>
          <xdr:rowOff>158750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76200</xdr:rowOff>
        </xdr:from>
        <xdr:to>
          <xdr:col>8</xdr:col>
          <xdr:colOff>304800</xdr:colOff>
          <xdr:row>4</xdr:row>
          <xdr:rowOff>31750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5</xdr:row>
          <xdr:rowOff>114300</xdr:rowOff>
        </xdr:from>
        <xdr:to>
          <xdr:col>8</xdr:col>
          <xdr:colOff>323850</xdr:colOff>
          <xdr:row>8</xdr:row>
          <xdr:rowOff>69850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</xdr:colOff>
          <xdr:row>9</xdr:row>
          <xdr:rowOff>38100</xdr:rowOff>
        </xdr:from>
        <xdr:to>
          <xdr:col>8</xdr:col>
          <xdr:colOff>330200</xdr:colOff>
          <xdr:row>11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12700</xdr:rowOff>
        </xdr:from>
        <xdr:to>
          <xdr:col>5</xdr:col>
          <xdr:colOff>565150</xdr:colOff>
          <xdr:row>6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4</xdr:row>
          <xdr:rowOff>12700</xdr:rowOff>
        </xdr:from>
        <xdr:to>
          <xdr:col>7</xdr:col>
          <xdr:colOff>12700</xdr:colOff>
          <xdr:row>6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on Kumar" refreshedDate="45667.710597337966" createdVersion="3" refreshedVersion="8" minRefreshableVersion="3" recordCount="1" xr:uid="{7C6626B1-CAC9-4987-B755-A0C242C8BC21}">
  <cacheSource type="worksheet">
    <worksheetSource ref="A1:F2" sheet="Combined_Data"/>
  </cacheSource>
  <cacheFields count="6">
    <cacheField name="Date" numFmtId="0">
      <sharedItems count="1">
        <s v="Date"/>
      </sharedItems>
    </cacheField>
    <cacheField name="Item" numFmtId="0">
      <sharedItems/>
    </cacheField>
    <cacheField name="Category" numFmtId="0">
      <sharedItems count="1">
        <s v="Category"/>
      </sharedItems>
    </cacheField>
    <cacheField name="Description" numFmtId="0">
      <sharedItems/>
    </cacheField>
    <cacheField name="Amount" numFmtId="165">
      <sharedItems/>
    </cacheField>
    <cacheField name="Type" numFmtId="0">
      <sharedItems count="1">
        <s v="Expens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Item"/>
    <x v="0"/>
    <s v="Description"/>
    <s v="Amoun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86A41-2CC1-4899-943C-3C40D2F7F5DC}" name="CombinedPivot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3:C6" firstHeaderRow="1" firstDataRow="2" firstDataCol="1" rowPageCount="1" colPageCount="1"/>
  <pivotFields count="6">
    <pivotField axis="axisPage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/>
    <pivotField axis="axisCol" showAll="0">
      <items count="2">
        <item x="0"/>
        <item t="default"/>
      </items>
    </pivotField>
  </pivotFields>
  <rowFields count="1">
    <field x="2"/>
  </rowFields>
  <rowItems count="2">
    <i>
      <x/>
    </i>
    <i t="grand">
      <x/>
    </i>
  </rowItems>
  <colFields count="1">
    <field x="5"/>
  </colFields>
  <colItems count="2">
    <i>
      <x/>
    </i>
    <i t="grand">
      <x/>
    </i>
  </colItems>
  <pageFields count="1">
    <pageField fld="0" hier="-1"/>
  </pageFields>
  <dataFields count="1">
    <dataField name="Count of Amount" fld="4" subtotal="count" baseField="0" baseItem="0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41A3-53E7-4FAA-B0C0-9B52335ACCE3}">
  <sheetPr codeName="Sheet10"/>
  <dimension ref="A1:P72"/>
  <sheetViews>
    <sheetView tabSelected="1" topLeftCell="A3" zoomScale="80" zoomScaleNormal="80" workbookViewId="0">
      <selection activeCell="P2" sqref="P2"/>
    </sheetView>
  </sheetViews>
  <sheetFormatPr defaultRowHeight="14.5" x14ac:dyDescent="0.35"/>
  <cols>
    <col min="1" max="1" width="23.26953125" bestFit="1" customWidth="1"/>
    <col min="2" max="3" width="10.54296875" bestFit="1" customWidth="1"/>
    <col min="4" max="4" width="13.36328125" bestFit="1" customWidth="1"/>
    <col min="5" max="5" width="9.08984375" bestFit="1" customWidth="1"/>
    <col min="16" max="16" width="22.6328125" customWidth="1"/>
  </cols>
  <sheetData>
    <row r="1" spans="1:16" ht="7.5" customHeight="1" x14ac:dyDescent="0.35">
      <c r="A1" s="26" t="s">
        <v>27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</row>
    <row r="2" spans="1:16" ht="14" customHeight="1" x14ac:dyDescent="0.3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</row>
    <row r="3" spans="1:16" ht="60.5" customHeight="1" x14ac:dyDescent="0.3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P3" s="10"/>
    </row>
    <row r="4" spans="1:16" ht="3.5" customHeight="1" x14ac:dyDescent="0.3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6" x14ac:dyDescent="0.35">
      <c r="A5" s="28" t="s">
        <v>28</v>
      </c>
      <c r="B5" s="28"/>
      <c r="C5" s="17"/>
      <c r="D5" s="29" t="s">
        <v>29</v>
      </c>
      <c r="E5" s="29"/>
      <c r="F5" s="17"/>
      <c r="G5" s="17"/>
      <c r="H5" s="17"/>
      <c r="I5" s="17"/>
      <c r="J5" s="17"/>
      <c r="K5" s="17"/>
      <c r="L5" s="17"/>
      <c r="M5" s="17"/>
      <c r="N5" s="17"/>
    </row>
    <row r="6" spans="1:16" ht="16.5" customHeight="1" x14ac:dyDescent="0.35">
      <c r="A6" s="18" t="s">
        <v>2</v>
      </c>
      <c r="B6" s="18" t="s">
        <v>4</v>
      </c>
      <c r="C6" s="17"/>
      <c r="D6" s="18" t="s">
        <v>2</v>
      </c>
      <c r="E6" s="18" t="s">
        <v>4</v>
      </c>
      <c r="F6" s="17"/>
      <c r="G6" s="17"/>
      <c r="H6" s="17"/>
      <c r="I6" s="17"/>
      <c r="J6" s="17"/>
      <c r="K6" s="17"/>
      <c r="L6" s="17"/>
      <c r="M6" s="17"/>
      <c r="N6" s="17"/>
      <c r="P6" t="s">
        <v>38</v>
      </c>
    </row>
    <row r="7" spans="1:16" x14ac:dyDescent="0.35">
      <c r="A7" s="12"/>
      <c r="B7" s="13"/>
      <c r="C7" s="17"/>
      <c r="D7" s="12"/>
      <c r="E7" s="13"/>
      <c r="F7" s="17"/>
      <c r="G7" s="17"/>
      <c r="H7" s="17"/>
      <c r="I7" s="17"/>
      <c r="J7" s="17"/>
      <c r="K7" s="17"/>
      <c r="L7" s="17"/>
      <c r="M7" s="17"/>
      <c r="N7" s="17"/>
    </row>
    <row r="8" spans="1:16" x14ac:dyDescent="0.35">
      <c r="A8" s="12"/>
      <c r="B8" s="13"/>
      <c r="C8" s="17"/>
      <c r="D8" s="12"/>
      <c r="E8" s="13"/>
      <c r="F8" s="17"/>
      <c r="G8" s="17"/>
      <c r="H8" s="17"/>
      <c r="I8" s="17"/>
      <c r="J8" s="17"/>
      <c r="K8" s="17"/>
      <c r="L8" s="17"/>
      <c r="M8" s="17"/>
      <c r="N8" s="17"/>
    </row>
    <row r="9" spans="1:16" x14ac:dyDescent="0.35">
      <c r="A9" s="12"/>
      <c r="B9" s="13"/>
      <c r="C9" s="17"/>
      <c r="D9" s="14" t="s">
        <v>31</v>
      </c>
      <c r="E9" s="15">
        <f>SUM(E7:E8)</f>
        <v>0</v>
      </c>
      <c r="F9" s="17"/>
      <c r="G9" s="17"/>
      <c r="H9" s="17"/>
      <c r="I9" s="17"/>
      <c r="J9" s="17"/>
      <c r="K9" s="17"/>
      <c r="L9" s="17"/>
      <c r="M9" s="17"/>
      <c r="N9" s="17"/>
    </row>
    <row r="10" spans="1:16" x14ac:dyDescent="0.35">
      <c r="A10" s="12"/>
      <c r="B10" s="1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</row>
    <row r="11" spans="1:16" x14ac:dyDescent="0.35">
      <c r="A11" s="12"/>
      <c r="B11" s="1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</row>
    <row r="12" spans="1:16" x14ac:dyDescent="0.35">
      <c r="A12" s="16" t="s">
        <v>30</v>
      </c>
      <c r="B12" s="13">
        <f>SUM(B7:B11)</f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6" x14ac:dyDescent="0.3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</row>
    <row r="14" spans="1:16" x14ac:dyDescent="0.3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</row>
    <row r="15" spans="1:16" x14ac:dyDescent="0.3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</row>
    <row r="16" spans="1:16" ht="18.5" x14ac:dyDescent="0.45">
      <c r="A16" s="30" t="s">
        <v>8</v>
      </c>
      <c r="B16" s="30"/>
      <c r="C16" s="30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</row>
    <row r="17" spans="1:16" ht="18.5" x14ac:dyDescent="0.45">
      <c r="A17" s="30" t="s">
        <v>9</v>
      </c>
      <c r="B17" s="30"/>
      <c r="C17" s="30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P17" t="s">
        <v>39</v>
      </c>
    </row>
    <row r="18" spans="1:16" x14ac:dyDescent="0.35">
      <c r="A18" s="19" t="s">
        <v>10</v>
      </c>
      <c r="B18" s="20"/>
      <c r="C18" s="20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</row>
    <row r="19" spans="1:16" x14ac:dyDescent="0.35">
      <c r="A19" s="20" t="s">
        <v>11</v>
      </c>
      <c r="B19" s="21" t="e">
        <f>VLOOKUP("Co-Op Salary",D7:E8,2,FALSE)</f>
        <v>#N/A</v>
      </c>
      <c r="C19" s="21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</row>
    <row r="20" spans="1:16" x14ac:dyDescent="0.35">
      <c r="A20" s="20" t="s">
        <v>12</v>
      </c>
      <c r="B20" s="22" t="e">
        <f>VLOOKUP("Part Time Job",D7:E8,2,FALSE)</f>
        <v>#N/A</v>
      </c>
      <c r="C20" s="21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</row>
    <row r="21" spans="1:16" x14ac:dyDescent="0.35">
      <c r="A21" s="23" t="s">
        <v>13</v>
      </c>
      <c r="B21" s="21"/>
      <c r="C21" s="21" t="e">
        <f>SUM(B19:B20)</f>
        <v>#N/A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</row>
    <row r="22" spans="1:16" x14ac:dyDescent="0.35">
      <c r="A22" s="20"/>
      <c r="B22" s="21"/>
      <c r="C22" s="21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</row>
    <row r="23" spans="1:16" x14ac:dyDescent="0.35">
      <c r="A23" s="19" t="s">
        <v>14</v>
      </c>
      <c r="B23" s="21"/>
      <c r="C23" s="21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</row>
    <row r="24" spans="1:16" x14ac:dyDescent="0.35">
      <c r="A24" s="20" t="s">
        <v>15</v>
      </c>
      <c r="B24" s="21" t="e">
        <f>VLOOKUP("Food Expense",A7:B11,2,FALSE)</f>
        <v>#N/A</v>
      </c>
      <c r="C24" s="2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</row>
    <row r="25" spans="1:16" x14ac:dyDescent="0.35">
      <c r="A25" s="20" t="s">
        <v>16</v>
      </c>
      <c r="B25" s="21" t="e">
        <f>VLOOKUP("Entertainment Expense",A7:B11,2,FALSE)</f>
        <v>#N/A</v>
      </c>
      <c r="C25" s="21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</row>
    <row r="26" spans="1:16" x14ac:dyDescent="0.35">
      <c r="A26" s="20" t="s">
        <v>17</v>
      </c>
      <c r="B26" s="21" t="e">
        <f>VLOOKUP("Tuition Expense",A7:B11,2,FALSE)</f>
        <v>#N/A</v>
      </c>
      <c r="C26" s="21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</row>
    <row r="27" spans="1:16" x14ac:dyDescent="0.35">
      <c r="A27" s="20" t="s">
        <v>18</v>
      </c>
      <c r="B27" s="21" t="e">
        <f>VLOOKUP("Transportation Expense",A7:B11,2,FALSE)</f>
        <v>#N/A</v>
      </c>
      <c r="C27" s="21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</row>
    <row r="28" spans="1:16" x14ac:dyDescent="0.35">
      <c r="A28" s="20" t="s">
        <v>19</v>
      </c>
      <c r="B28" s="22" t="e">
        <f>VLOOKUP("Housing Expense",A7:B11,2,FALSE)</f>
        <v>#N/A</v>
      </c>
      <c r="C28" s="21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</row>
    <row r="29" spans="1:16" x14ac:dyDescent="0.35">
      <c r="A29" s="23" t="s">
        <v>20</v>
      </c>
      <c r="B29" s="21"/>
      <c r="C29" s="22" t="e">
        <f>SUM(B24:B28)</f>
        <v>#N/A</v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</row>
    <row r="30" spans="1:16" ht="15" thickBot="1" x14ac:dyDescent="0.4">
      <c r="A30" s="24" t="s">
        <v>21</v>
      </c>
      <c r="B30" s="21"/>
      <c r="C30" s="25" t="e">
        <f>C21-C29</f>
        <v>#N/A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</row>
    <row r="31" spans="1:16" ht="15" thickTop="1" x14ac:dyDescent="0.35">
      <c r="A31" s="20"/>
      <c r="B31" s="20"/>
      <c r="C31" s="20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</row>
    <row r="32" spans="1:16" x14ac:dyDescent="0.3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</row>
    <row r="33" spans="1:14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</row>
    <row r="34" spans="1:14" x14ac:dyDescent="0.3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</row>
    <row r="35" spans="1:14" x14ac:dyDescent="0.3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</row>
    <row r="36" spans="1:14" x14ac:dyDescent="0.3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</row>
    <row r="37" spans="1:14" x14ac:dyDescent="0.3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</row>
    <row r="38" spans="1:14" x14ac:dyDescent="0.3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</row>
    <row r="39" spans="1:14" x14ac:dyDescent="0.3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</row>
    <row r="40" spans="1:14" x14ac:dyDescent="0.3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</row>
    <row r="41" spans="1:14" x14ac:dyDescent="0.3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</row>
    <row r="42" spans="1:14" x14ac:dyDescent="0.3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</row>
    <row r="43" spans="1:14" x14ac:dyDescent="0.3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</row>
    <row r="44" spans="1:14" x14ac:dyDescent="0.3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</row>
    <row r="45" spans="1:14" x14ac:dyDescent="0.3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</row>
    <row r="46" spans="1:14" x14ac:dyDescent="0.3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</row>
    <row r="47" spans="1:14" x14ac:dyDescent="0.3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</row>
    <row r="48" spans="1:14" x14ac:dyDescent="0.3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</row>
    <row r="49" spans="1:14" x14ac:dyDescent="0.3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</row>
    <row r="50" spans="1:14" x14ac:dyDescent="0.3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</row>
    <row r="51" spans="1:14" x14ac:dyDescent="0.3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</row>
    <row r="52" spans="1:14" x14ac:dyDescent="0.3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</row>
    <row r="53" spans="1:14" x14ac:dyDescent="0.3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</row>
    <row r="54" spans="1:14" x14ac:dyDescent="0.3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</row>
    <row r="55" spans="1:14" x14ac:dyDescent="0.3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</row>
    <row r="56" spans="1:14" x14ac:dyDescent="0.3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</row>
    <row r="57" spans="1:14" x14ac:dyDescent="0.3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</row>
    <row r="58" spans="1:14" x14ac:dyDescent="0.3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</row>
    <row r="59" spans="1:14" x14ac:dyDescent="0.3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</row>
    <row r="60" spans="1:14" x14ac:dyDescent="0.3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</row>
    <row r="61" spans="1:14" x14ac:dyDescent="0.3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</row>
    <row r="62" spans="1:14" x14ac:dyDescent="0.3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</row>
    <row r="63" spans="1:14" x14ac:dyDescent="0.3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</row>
    <row r="64" spans="1:14" x14ac:dyDescent="0.3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</row>
    <row r="65" spans="1:14" x14ac:dyDescent="0.3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</row>
    <row r="66" spans="1:14" x14ac:dyDescent="0.3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</row>
    <row r="67" spans="1:14" x14ac:dyDescent="0.3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</row>
    <row r="68" spans="1:14" x14ac:dyDescent="0.3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</row>
    <row r="69" spans="1:14" x14ac:dyDescent="0.3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</row>
    <row r="70" spans="1:14" x14ac:dyDescent="0.3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</row>
    <row r="71" spans="1:14" x14ac:dyDescent="0.3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</row>
    <row r="72" spans="1:14" x14ac:dyDescent="0.3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</row>
  </sheetData>
  <mergeCells count="5">
    <mergeCell ref="A1:N4"/>
    <mergeCell ref="A5:B5"/>
    <mergeCell ref="D5:E5"/>
    <mergeCell ref="A16:C16"/>
    <mergeCell ref="A17:C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UpdateExpensesCategoryDashboard">
                <anchor moveWithCells="1" sizeWithCells="1">
                  <from>
                    <xdr:col>0</xdr:col>
                    <xdr:colOff>133350</xdr:colOff>
                    <xdr:row>12</xdr:row>
                    <xdr:rowOff>31750</xdr:rowOff>
                  </from>
                  <to>
                    <xdr:col>1</xdr:col>
                    <xdr:colOff>463550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UpdateIncomesCategoryDashboard">
                <anchor moveWithCells="1" sizeWithCells="1">
                  <from>
                    <xdr:col>2</xdr:col>
                    <xdr:colOff>450850</xdr:colOff>
                    <xdr:row>12</xdr:row>
                    <xdr:rowOff>31750</xdr:rowOff>
                  </from>
                  <to>
                    <xdr:col>5</xdr:col>
                    <xdr:colOff>158750</xdr:colOff>
                    <xdr:row>13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OpenExpenses">
                <anchor moveWithCells="1" sizeWithCells="1">
                  <from>
                    <xdr:col>5</xdr:col>
                    <xdr:colOff>463550</xdr:colOff>
                    <xdr:row>4</xdr:row>
                    <xdr:rowOff>57150</xdr:rowOff>
                  </from>
                  <to>
                    <xdr:col>7</xdr:col>
                    <xdr:colOff>488950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OpenIncome">
                <anchor moveWithCells="1" sizeWithCells="1">
                  <from>
                    <xdr:col>5</xdr:col>
                    <xdr:colOff>469900</xdr:colOff>
                    <xdr:row>8</xdr:row>
                    <xdr:rowOff>158750</xdr:rowOff>
                  </from>
                  <to>
                    <xdr:col>7</xdr:col>
                    <xdr:colOff>482600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DisplayGoals">
                <anchor moveWithCells="1" sizeWithCells="1">
                  <from>
                    <xdr:col>8</xdr:col>
                    <xdr:colOff>444500</xdr:colOff>
                    <xdr:row>4</xdr:row>
                    <xdr:rowOff>69850</xdr:rowOff>
                  </from>
                  <to>
                    <xdr:col>12</xdr:col>
                    <xdr:colOff>254000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OpenGoals">
                <anchor moveWithCells="1" sizeWithCells="1">
                  <from>
                    <xdr:col>8</xdr:col>
                    <xdr:colOff>444500</xdr:colOff>
                    <xdr:row>8</xdr:row>
                    <xdr:rowOff>158750</xdr:rowOff>
                  </from>
                  <to>
                    <xdr:col>12</xdr:col>
                    <xdr:colOff>254000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Fill="0" autoPict="0" macro="[0]!DisplayLowPriorityOverLimitExpenses">
                <anchor moveWithCells="1" sizeWithCells="1">
                  <from>
                    <xdr:col>0</xdr:col>
                    <xdr:colOff>323850</xdr:colOff>
                    <xdr:row>30</xdr:row>
                    <xdr:rowOff>165100</xdr:rowOff>
                  </from>
                  <to>
                    <xdr:col>2</xdr:col>
                    <xdr:colOff>292100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Button 8">
              <controlPr defaultSize="0" print="0" autoFill="0" autoPict="0" macro="[0]!CombineTablesAndCreatePivotTable">
                <anchor moveWithCells="1" sizeWithCells="1">
                  <from>
                    <xdr:col>11</xdr:col>
                    <xdr:colOff>25400</xdr:colOff>
                    <xdr:row>15</xdr:row>
                    <xdr:rowOff>57150</xdr:rowOff>
                  </from>
                  <to>
                    <xdr:col>13</xdr:col>
                    <xdr:colOff>514350</xdr:colOff>
                    <xdr:row>17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"/>
  <sheetViews>
    <sheetView workbookViewId="0">
      <selection activeCell="A2" sqref="A2:F13"/>
    </sheetView>
  </sheetViews>
  <sheetFormatPr defaultRowHeight="14.5" x14ac:dyDescent="0.35"/>
  <cols>
    <col min="1" max="1" width="10.453125" bestFit="1" customWidth="1"/>
    <col min="2" max="2" width="30.26953125" bestFit="1" customWidth="1"/>
    <col min="3" max="3" width="20.36328125" bestFit="1" customWidth="1"/>
    <col min="4" max="4" width="11.1796875" bestFit="1" customWidth="1"/>
    <col min="5" max="5" width="8.7265625" style="5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  <c r="F1" s="3" t="s">
        <v>5</v>
      </c>
    </row>
    <row r="2" spans="1:6" x14ac:dyDescent="0.35">
      <c r="A2" s="2"/>
    </row>
    <row r="3" spans="1:6" x14ac:dyDescent="0.35">
      <c r="A3" s="2"/>
    </row>
    <row r="4" spans="1:6" x14ac:dyDescent="0.35">
      <c r="A4" s="2"/>
    </row>
    <row r="5" spans="1:6" x14ac:dyDescent="0.35">
      <c r="A5" s="2"/>
    </row>
    <row r="6" spans="1:6" x14ac:dyDescent="0.35">
      <c r="A6" s="2"/>
    </row>
    <row r="7" spans="1:6" x14ac:dyDescent="0.35">
      <c r="A7" s="2"/>
    </row>
    <row r="8" spans="1:6" x14ac:dyDescent="0.35">
      <c r="A8" s="2"/>
    </row>
    <row r="9" spans="1:6" x14ac:dyDescent="0.35">
      <c r="A9" s="2"/>
    </row>
    <row r="10" spans="1:6" x14ac:dyDescent="0.35">
      <c r="A10" s="2"/>
    </row>
    <row r="11" spans="1:6" x14ac:dyDescent="0.35">
      <c r="A11" s="2"/>
    </row>
    <row r="12" spans="1:6" x14ac:dyDescent="0.35">
      <c r="A12" s="2"/>
    </row>
    <row r="13" spans="1:6" x14ac:dyDescent="0.35">
      <c r="A13" s="2"/>
    </row>
    <row r="14" spans="1:6" x14ac:dyDescent="0.35">
      <c r="A14" s="2"/>
    </row>
    <row r="15" spans="1:6" x14ac:dyDescent="0.35">
      <c r="A15" s="2"/>
    </row>
    <row r="16" spans="1:6" x14ac:dyDescent="0.35">
      <c r="A16" s="2"/>
    </row>
    <row r="17" spans="1:1" x14ac:dyDescent="0.35">
      <c r="A17" s="2"/>
    </row>
    <row r="18" spans="1:1" x14ac:dyDescent="0.35">
      <c r="A18" s="2"/>
    </row>
    <row r="19" spans="1:1" x14ac:dyDescent="0.35">
      <c r="A19" s="2"/>
    </row>
    <row r="20" spans="1:1" x14ac:dyDescent="0.35">
      <c r="A20" s="2"/>
    </row>
    <row r="21" spans="1:1" x14ac:dyDescent="0.35">
      <c r="A21" s="2"/>
    </row>
    <row r="22" spans="1:1" x14ac:dyDescent="0.35">
      <c r="A22" s="2"/>
    </row>
    <row r="23" spans="1:1" x14ac:dyDescent="0.35">
      <c r="A23" s="2"/>
    </row>
    <row r="24" spans="1:1" x14ac:dyDescent="0.35">
      <c r="A24" s="2"/>
    </row>
    <row r="25" spans="1:1" x14ac:dyDescent="0.35">
      <c r="A25" s="2"/>
    </row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7</xdr:col>
                    <xdr:colOff>273050</xdr:colOff>
                    <xdr:row>4</xdr:row>
                    <xdr:rowOff>38100</xdr:rowOff>
                  </from>
                  <to>
                    <xdr:col>9</xdr:col>
                    <xdr:colOff>323850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7</xdr:col>
                    <xdr:colOff>292100</xdr:colOff>
                    <xdr:row>1</xdr:row>
                    <xdr:rowOff>44450</xdr:rowOff>
                  </from>
                  <to>
                    <xdr:col>9</xdr:col>
                    <xdr:colOff>330200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penDashboard">
                <anchor moveWithCells="1" sizeWithCells="1">
                  <from>
                    <xdr:col>7</xdr:col>
                    <xdr:colOff>279400</xdr:colOff>
                    <xdr:row>7</xdr:row>
                    <xdr:rowOff>57150</xdr:rowOff>
                  </from>
                  <to>
                    <xdr:col>9</xdr:col>
                    <xdr:colOff>330200</xdr:colOff>
                    <xdr:row>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9009E-B97D-412C-8640-38C93913078F}">
  <sheetPr codeName="Sheet7"/>
  <dimension ref="A1"/>
  <sheetViews>
    <sheetView workbookViewId="0">
      <selection activeCell="A10" sqref="A10"/>
    </sheetView>
  </sheetViews>
  <sheetFormatPr defaultRowHeight="14.5" x14ac:dyDescent="0.35"/>
  <cols>
    <col min="1" max="1" width="10.08984375" bestFit="1" customWidth="1"/>
    <col min="2" max="2" width="30.81640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80B3-97A9-4CEF-8D1A-6279FFA7D04C}">
  <sheetPr codeName="Sheet8"/>
  <dimension ref="A1:F6"/>
  <sheetViews>
    <sheetView workbookViewId="0">
      <selection activeCell="K2" sqref="K2"/>
    </sheetView>
  </sheetViews>
  <sheetFormatPr defaultRowHeight="14.5" x14ac:dyDescent="0.35"/>
  <cols>
    <col min="1" max="1" width="10.08984375" bestFit="1" customWidth="1"/>
    <col min="3" max="3" width="11.54296875" bestFit="1" customWidth="1"/>
    <col min="4" max="4" width="10.26953125" bestFit="1" customWidth="1"/>
    <col min="5" max="5" width="8.7265625" style="5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  <c r="F1" s="3" t="s">
        <v>33</v>
      </c>
    </row>
    <row r="2" spans="1:6" x14ac:dyDescent="0.35">
      <c r="A2" s="2"/>
    </row>
    <row r="3" spans="1:6" x14ac:dyDescent="0.35">
      <c r="A3" s="2"/>
    </row>
    <row r="4" spans="1:6" x14ac:dyDescent="0.35">
      <c r="A4" s="2"/>
    </row>
    <row r="5" spans="1:6" x14ac:dyDescent="0.35">
      <c r="A5" s="2"/>
    </row>
    <row r="6" spans="1:6" x14ac:dyDescent="0.35">
      <c r="A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ton5_Click">
                <anchor moveWithCells="1" sizeWithCells="1">
                  <from>
                    <xdr:col>6</xdr:col>
                    <xdr:colOff>19050</xdr:colOff>
                    <xdr:row>1</xdr:row>
                    <xdr:rowOff>76200</xdr:rowOff>
                  </from>
                  <to>
                    <xdr:col>8</xdr:col>
                    <xdr:colOff>304800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Incomes">
                <anchor moveWithCells="1" sizeWithCells="1">
                  <from>
                    <xdr:col>6</xdr:col>
                    <xdr:colOff>19050</xdr:colOff>
                    <xdr:row>5</xdr:row>
                    <xdr:rowOff>114300</xdr:rowOff>
                  </from>
                  <to>
                    <xdr:col>8</xdr:col>
                    <xdr:colOff>323850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OpenDashboard">
                <anchor moveWithCells="1" sizeWithCells="1">
                  <from>
                    <xdr:col>6</xdr:col>
                    <xdr:colOff>44450</xdr:colOff>
                    <xdr:row>9</xdr:row>
                    <xdr:rowOff>38100</xdr:rowOff>
                  </from>
                  <to>
                    <xdr:col>8</xdr:col>
                    <xdr:colOff>330200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3F20-120E-4CC5-989A-2126630DD809}">
  <sheetPr codeName="Sheet3"/>
  <dimension ref="A1:F3"/>
  <sheetViews>
    <sheetView topLeftCell="A2" workbookViewId="0">
      <selection activeCell="F19" sqref="F19"/>
    </sheetView>
  </sheetViews>
  <sheetFormatPr defaultRowHeight="14.5" x14ac:dyDescent="0.35"/>
  <cols>
    <col min="1" max="1" width="10.08984375" bestFit="1" customWidth="1"/>
    <col min="2" max="2" width="30.81640625" bestFit="1" customWidth="1"/>
    <col min="3" max="3" width="21.26953125" bestFit="1" customWidth="1"/>
    <col min="4" max="4" width="10.6328125" bestFit="1" customWidth="1"/>
    <col min="12" max="12" width="21.26953125" bestFit="1" customWidth="1"/>
    <col min="13" max="13" width="15.6328125" bestFit="1" customWidth="1"/>
    <col min="14" max="14" width="8.90625" bestFit="1" customWidth="1"/>
    <col min="15" max="15" width="10.7265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  <c r="F1" s="3" t="s">
        <v>33</v>
      </c>
    </row>
    <row r="2" spans="1:6" x14ac:dyDescent="0.35">
      <c r="A2" s="1" t="s">
        <v>0</v>
      </c>
      <c r="B2" s="1" t="s">
        <v>1</v>
      </c>
      <c r="C2" s="1" t="s">
        <v>2</v>
      </c>
      <c r="D2" s="1" t="s">
        <v>3</v>
      </c>
      <c r="E2" s="4" t="s">
        <v>4</v>
      </c>
      <c r="F2" t="s">
        <v>32</v>
      </c>
    </row>
    <row r="3" spans="1:6" x14ac:dyDescent="0.35">
      <c r="A3" s="2"/>
      <c r="E3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1DFD-EBCF-41B1-B9D9-E6D97BC2B5BE}">
  <sheetPr codeName="Sheet5"/>
  <dimension ref="A1:C6"/>
  <sheetViews>
    <sheetView workbookViewId="0">
      <selection activeCell="R9" sqref="R9"/>
    </sheetView>
  </sheetViews>
  <sheetFormatPr defaultRowHeight="14.5" x14ac:dyDescent="0.35"/>
  <cols>
    <col min="1" max="1" width="15.453125" bestFit="1" customWidth="1"/>
    <col min="2" max="2" width="15.26953125" bestFit="1" customWidth="1"/>
    <col min="3" max="4" width="10.7265625" bestFit="1" customWidth="1"/>
  </cols>
  <sheetData>
    <row r="1" spans="1:3" x14ac:dyDescent="0.35">
      <c r="A1" s="11" t="s">
        <v>0</v>
      </c>
      <c r="B1" t="s">
        <v>37</v>
      </c>
    </row>
    <row r="3" spans="1:3" x14ac:dyDescent="0.35">
      <c r="A3" s="11" t="s">
        <v>40</v>
      </c>
      <c r="B3" s="11" t="s">
        <v>36</v>
      </c>
    </row>
    <row r="4" spans="1:3" x14ac:dyDescent="0.35">
      <c r="A4" s="11" t="s">
        <v>34</v>
      </c>
      <c r="B4" t="s">
        <v>32</v>
      </c>
      <c r="C4" t="s">
        <v>35</v>
      </c>
    </row>
    <row r="5" spans="1:3" x14ac:dyDescent="0.35">
      <c r="A5" s="7" t="s">
        <v>2</v>
      </c>
      <c r="B5">
        <v>1</v>
      </c>
      <c r="C5">
        <v>1</v>
      </c>
    </row>
    <row r="6" spans="1:3" x14ac:dyDescent="0.35">
      <c r="A6" s="7" t="s">
        <v>35</v>
      </c>
      <c r="B6">
        <v>1</v>
      </c>
      <c r="C6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B4"/>
  <sheetViews>
    <sheetView workbookViewId="0">
      <selection activeCell="A3" sqref="A3"/>
    </sheetView>
  </sheetViews>
  <sheetFormatPr defaultRowHeight="14.5" x14ac:dyDescent="0.35"/>
  <cols>
    <col min="1" max="1" width="26.90625" bestFit="1" customWidth="1"/>
    <col min="2" max="2" width="15.26953125" customWidth="1"/>
  </cols>
  <sheetData>
    <row r="1" spans="1:2" x14ac:dyDescent="0.35">
      <c r="A1" s="6" t="s">
        <v>7</v>
      </c>
      <c r="B1" s="6" t="s">
        <v>4</v>
      </c>
    </row>
    <row r="2" spans="1:2" x14ac:dyDescent="0.35">
      <c r="A2" s="7"/>
      <c r="B2" s="8"/>
    </row>
    <row r="3" spans="1:2" x14ac:dyDescent="0.35">
      <c r="B3" s="9"/>
    </row>
    <row r="4" spans="1:2" x14ac:dyDescent="0.35">
      <c r="B4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Dashboard">
                <anchor moveWithCells="1" sizeWithCells="1">
                  <from>
                    <xdr:col>3</xdr:col>
                    <xdr:colOff>12700</xdr:colOff>
                    <xdr:row>4</xdr:row>
                    <xdr:rowOff>12700</xdr:rowOff>
                  </from>
                  <to>
                    <xdr:col>5</xdr:col>
                    <xdr:colOff>565150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152B4-9A59-4C79-A3FE-D8C5809D6A45}">
  <sheetPr codeName="Sheet6"/>
  <dimension ref="A1:B6"/>
  <sheetViews>
    <sheetView workbookViewId="0">
      <selection activeCell="E3" sqref="E3"/>
    </sheetView>
  </sheetViews>
  <sheetFormatPr defaultRowHeight="14.5" x14ac:dyDescent="0.35"/>
  <cols>
    <col min="1" max="1" width="20.81640625" bestFit="1" customWidth="1"/>
    <col min="2" max="2" width="12.453125" bestFit="1" customWidth="1"/>
  </cols>
  <sheetData>
    <row r="1" spans="1:2" x14ac:dyDescent="0.35">
      <c r="A1" s="6" t="s">
        <v>2</v>
      </c>
      <c r="B1" s="6" t="s">
        <v>22</v>
      </c>
    </row>
    <row r="2" spans="1:2" x14ac:dyDescent="0.35">
      <c r="A2" t="s">
        <v>6</v>
      </c>
      <c r="B2" s="5"/>
    </row>
    <row r="3" spans="1:2" x14ac:dyDescent="0.35">
      <c r="A3" s="7" t="s">
        <v>23</v>
      </c>
      <c r="B3" s="5"/>
    </row>
    <row r="4" spans="1:2" x14ac:dyDescent="0.35">
      <c r="A4" t="s">
        <v>24</v>
      </c>
      <c r="B4" s="5"/>
    </row>
    <row r="5" spans="1:2" x14ac:dyDescent="0.35">
      <c r="A5" t="s">
        <v>25</v>
      </c>
      <c r="B5" s="5"/>
    </row>
    <row r="6" spans="1:2" x14ac:dyDescent="0.35">
      <c r="A6" t="s">
        <v>26</v>
      </c>
      <c r="B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penDashboard">
                <anchor moveWithCells="1" sizeWithCells="1">
                  <from>
                    <xdr:col>4</xdr:col>
                    <xdr:colOff>12700</xdr:colOff>
                    <xdr:row>4</xdr:row>
                    <xdr:rowOff>12700</xdr:rowOff>
                  </from>
                  <to>
                    <xdr:col>7</xdr:col>
                    <xdr:colOff>12700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Expenses</vt:lpstr>
      <vt:lpstr>Forecast_Expenses</vt:lpstr>
      <vt:lpstr>Income</vt:lpstr>
      <vt:lpstr>Combined_Data</vt:lpstr>
      <vt:lpstr>PivotTableSheet</vt:lpstr>
      <vt:lpstr>Goals</vt:lpstr>
      <vt:lpstr>Expense_Limits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Prakash Kumar</cp:lastModifiedBy>
  <cp:revision/>
  <dcterms:created xsi:type="dcterms:W3CDTF">2021-10-13T18:04:27Z</dcterms:created>
  <dcterms:modified xsi:type="dcterms:W3CDTF">2025-01-10T22:07:39Z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